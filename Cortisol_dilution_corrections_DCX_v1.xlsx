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saSolomon-Lane/Library/CloudStorage/Box-Box/Solomon-Lane Lab/Research Projects/AVT-PS6 Pilot - w KW/Cortisol/"/>
    </mc:Choice>
  </mc:AlternateContent>
  <xr:revisionPtr revIDLastSave="0" documentId="13_ncr:1_{B38F8BC2-B981-004E-BBA9-F6C5896801B8}" xr6:coauthVersionLast="47" xr6:coauthVersionMax="47" xr10:uidLastSave="{00000000-0000-0000-0000-000000000000}"/>
  <bookViews>
    <workbookView xWindow="4300" yWindow="2700" windowWidth="27640" windowHeight="16940" xr2:uid="{2FA30D02-C791-E140-97E5-3E45DCA6D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L7" i="1" s="1"/>
  <c r="J8" i="1"/>
  <c r="L8" i="1" s="1"/>
  <c r="J9" i="1"/>
  <c r="L9" i="1" s="1"/>
  <c r="J10" i="1"/>
  <c r="L10" i="1" s="1"/>
  <c r="G3" i="1"/>
  <c r="J3" i="1" s="1"/>
  <c r="L3" i="1" s="1"/>
  <c r="G4" i="1"/>
  <c r="J4" i="1" s="1"/>
  <c r="L4" i="1" s="1"/>
  <c r="G5" i="1"/>
  <c r="J5" i="1" s="1"/>
  <c r="L5" i="1" s="1"/>
  <c r="G6" i="1"/>
  <c r="J6" i="1" s="1"/>
  <c r="L6" i="1" s="1"/>
  <c r="G7" i="1"/>
  <c r="G8" i="1"/>
  <c r="G9" i="1"/>
  <c r="G10" i="1"/>
  <c r="G11" i="1"/>
  <c r="J11" i="1" s="1"/>
  <c r="L11" i="1" s="1"/>
  <c r="G12" i="1"/>
  <c r="J12" i="1" s="1"/>
  <c r="L12" i="1" s="1"/>
  <c r="G13" i="1"/>
  <c r="J13" i="1" s="1"/>
  <c r="L13" i="1" s="1"/>
  <c r="G14" i="1"/>
  <c r="J14" i="1" s="1"/>
  <c r="L14" i="1" s="1"/>
  <c r="G15" i="1"/>
  <c r="J15" i="1" s="1"/>
  <c r="L15" i="1" s="1"/>
  <c r="G16" i="1"/>
  <c r="J16" i="1" s="1"/>
  <c r="L16" i="1" s="1"/>
  <c r="G17" i="1"/>
  <c r="J17" i="1" s="1"/>
  <c r="L17" i="1" s="1"/>
  <c r="G2" i="1"/>
  <c r="J2" i="1" s="1"/>
  <c r="L2" i="1" s="1"/>
</calcChain>
</file>

<file path=xl/sharedStrings.xml><?xml version="1.0" encoding="utf-8"?>
<sst xmlns="http://schemas.openxmlformats.org/spreadsheetml/2006/main" count="60" uniqueCount="38">
  <si>
    <t>T1A</t>
  </si>
  <si>
    <t>T1B</t>
  </si>
  <si>
    <t>T2A</t>
  </si>
  <si>
    <t>T2B</t>
  </si>
  <si>
    <t>T3A</t>
  </si>
  <si>
    <t>T3B</t>
  </si>
  <si>
    <t>T4A</t>
  </si>
  <si>
    <t>T4B</t>
  </si>
  <si>
    <t>T5A</t>
  </si>
  <si>
    <t>T5B</t>
  </si>
  <si>
    <t>T6A</t>
  </si>
  <si>
    <t>T6B</t>
  </si>
  <si>
    <t>T7A</t>
  </si>
  <si>
    <t>T7B</t>
  </si>
  <si>
    <t>T8A</t>
  </si>
  <si>
    <t>T8B</t>
  </si>
  <si>
    <t>FishID</t>
  </si>
  <si>
    <t>TankID</t>
  </si>
  <si>
    <t>T1</t>
  </si>
  <si>
    <t>T2</t>
  </si>
  <si>
    <t>T3</t>
  </si>
  <si>
    <t>T4</t>
  </si>
  <si>
    <t>T5</t>
  </si>
  <si>
    <t>T6</t>
  </si>
  <si>
    <t>T7</t>
  </si>
  <si>
    <t>T8</t>
  </si>
  <si>
    <t>RelativeSize</t>
  </si>
  <si>
    <t>Larger</t>
  </si>
  <si>
    <t>Smaller</t>
  </si>
  <si>
    <t>Additional_Fold_Dilution</t>
  </si>
  <si>
    <t>Initial_Resuspension_mL</t>
  </si>
  <si>
    <t>Cortisol_pg</t>
  </si>
  <si>
    <t>Water_Volume_mL</t>
  </si>
  <si>
    <t>Time_In_Beaker_hr</t>
  </si>
  <si>
    <t>Cortisol_pg_mL_hr</t>
  </si>
  <si>
    <t>Fish_Mass_g</t>
  </si>
  <si>
    <t>Cortisol_pg_mL_hr_g</t>
  </si>
  <si>
    <t>Cortisol_pg_mL_90min.read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</si>
</sst>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9149-A678-8A45-86BD-B77FC54E74F1}">
  <dimension ref="A1:L17"/>
  <sheetViews>
    <sheetView tabSelected="1" workbookViewId="0">
      <selection activeCell="E24" sqref="E24"/>
    </sheetView>
  </sheetViews>
  <sheetFormatPr baseColWidth="10" defaultRowHeight="16" x14ac:dyDescent="0.2"/>
  <cols>
    <col min="4" max="4" width="23.83203125" bestFit="1" customWidth="1"/>
    <col min="5" max="5" width="21.1640625" bestFit="1" customWidth="1"/>
    <col min="6" max="6" width="22.5" customWidth="1"/>
    <col min="7" max="7" width="12" customWidth="1"/>
    <col min="8" max="8" width="16.33203125" bestFit="1" customWidth="1"/>
    <col min="9" max="9" width="22.33203125" customWidth="1"/>
    <col min="10" max="10" width="19" customWidth="1"/>
    <col min="11" max="11" width="15.83203125" customWidth="1"/>
    <col min="12" max="12" width="17.83203125" bestFit="1" customWidth="1"/>
  </cols>
  <sheetData>
    <row r="1" spans="1:12" x14ac:dyDescent="0.2">
      <c r="A1" t="s">
        <v>16</v>
      </c>
      <c r="B1" t="s">
        <v>17</v>
      </c>
      <c r="C1" t="s">
        <v>26</v>
      </c>
      <c r="D1" t="s">
        <v>37</v>
      </c>
      <c r="E1" t="s">
        <v>30</v>
      </c>
      <c r="F1" t="s">
        <v>29</v>
      </c>
      <c r="G1" t="s">
        <v>31</v>
      </c>
      <c r="H1" t="s">
        <v>32</v>
      </c>
      <c r="I1" t="s">
        <v>33</v>
      </c>
      <c r="J1" s="2" t="s">
        <v>34</v>
      </c>
      <c r="K1" t="s">
        <v>35</v>
      </c>
      <c r="L1" s="2" t="s">
        <v>36</v>
      </c>
    </row>
    <row r="2" spans="1:12" x14ac:dyDescent="0.2">
      <c r="A2" t="s">
        <v>0</v>
      </c>
      <c r="B2" t="s">
        <v>18</v>
      </c>
      <c r="C2" t="s">
        <v>27</v>
      </c>
      <c r="D2">
        <v>1374.5943519223642</v>
      </c>
      <c r="E2">
        <v>0.2</v>
      </c>
      <c r="F2">
        <v>4</v>
      </c>
      <c r="G2">
        <f>D2*E2*F2</f>
        <v>1099.6754815378915</v>
      </c>
      <c r="H2">
        <v>15</v>
      </c>
      <c r="I2">
        <v>0.66700000000000004</v>
      </c>
      <c r="J2">
        <f>G2/H2/I2</f>
        <v>109.91259185786022</v>
      </c>
      <c r="K2" s="1">
        <v>0.158</v>
      </c>
      <c r="L2">
        <f>J2/K2</f>
        <v>695.64931555607734</v>
      </c>
    </row>
    <row r="3" spans="1:12" x14ac:dyDescent="0.2">
      <c r="A3" t="s">
        <v>1</v>
      </c>
      <c r="B3" t="s">
        <v>18</v>
      </c>
      <c r="C3" t="s">
        <v>28</v>
      </c>
      <c r="D3">
        <v>439.76707589005633</v>
      </c>
      <c r="E3">
        <v>0.2</v>
      </c>
      <c r="F3">
        <v>4</v>
      </c>
      <c r="G3">
        <f t="shared" ref="G3:G17" si="0">D3*E3*F3</f>
        <v>351.81366071204508</v>
      </c>
      <c r="H3">
        <v>15</v>
      </c>
      <c r="I3">
        <v>0.66700000000000004</v>
      </c>
      <c r="J3">
        <f t="shared" ref="J3:J17" si="1">G3/H3/I3</f>
        <v>35.163784179114948</v>
      </c>
      <c r="K3" s="1">
        <v>0.12</v>
      </c>
      <c r="L3">
        <f t="shared" ref="L3:L17" si="2">J3/K3</f>
        <v>293.03153482595792</v>
      </c>
    </row>
    <row r="4" spans="1:12" x14ac:dyDescent="0.2">
      <c r="A4" t="s">
        <v>2</v>
      </c>
      <c r="B4" t="s">
        <v>19</v>
      </c>
      <c r="C4" t="s">
        <v>27</v>
      </c>
      <c r="D4">
        <v>190.8687545139571</v>
      </c>
      <c r="E4">
        <v>0.2</v>
      </c>
      <c r="F4">
        <v>4</v>
      </c>
      <c r="G4">
        <f t="shared" si="0"/>
        <v>152.69500361116567</v>
      </c>
      <c r="H4">
        <v>15</v>
      </c>
      <c r="I4">
        <v>0.66700000000000004</v>
      </c>
      <c r="J4">
        <f t="shared" si="1"/>
        <v>15.261869426403365</v>
      </c>
      <c r="K4" s="1">
        <v>0.27600000000000002</v>
      </c>
      <c r="L4">
        <f t="shared" si="2"/>
        <v>55.29662835653393</v>
      </c>
    </row>
    <row r="5" spans="1:12" x14ac:dyDescent="0.2">
      <c r="A5" t="s">
        <v>3</v>
      </c>
      <c r="B5" t="s">
        <v>19</v>
      </c>
      <c r="C5" t="s">
        <v>28</v>
      </c>
      <c r="D5">
        <v>356.93277560915402</v>
      </c>
      <c r="E5">
        <v>0.2</v>
      </c>
      <c r="F5">
        <v>4</v>
      </c>
      <c r="G5">
        <f t="shared" si="0"/>
        <v>285.54622048732324</v>
      </c>
      <c r="H5">
        <v>15</v>
      </c>
      <c r="I5">
        <v>0.66700000000000004</v>
      </c>
      <c r="J5">
        <f t="shared" si="1"/>
        <v>28.540351872795924</v>
      </c>
      <c r="K5" s="1">
        <v>0.12</v>
      </c>
      <c r="L5">
        <f t="shared" si="2"/>
        <v>237.83626560663271</v>
      </c>
    </row>
    <row r="6" spans="1:12" x14ac:dyDescent="0.2">
      <c r="A6" t="s">
        <v>4</v>
      </c>
      <c r="B6" t="s">
        <v>20</v>
      </c>
      <c r="C6" t="s">
        <v>27</v>
      </c>
      <c r="D6">
        <v>675.49582876263344</v>
      </c>
      <c r="E6">
        <v>0.2</v>
      </c>
      <c r="F6">
        <v>4</v>
      </c>
      <c r="G6">
        <f t="shared" si="0"/>
        <v>540.39666301010675</v>
      </c>
      <c r="H6">
        <v>15</v>
      </c>
      <c r="I6">
        <v>0.66700000000000004</v>
      </c>
      <c r="J6">
        <f t="shared" si="1"/>
        <v>54.012659971025165</v>
      </c>
      <c r="K6" s="1">
        <v>0.35399999999999998</v>
      </c>
      <c r="L6">
        <f t="shared" si="2"/>
        <v>152.57813551137053</v>
      </c>
    </row>
    <row r="7" spans="1:12" x14ac:dyDescent="0.2">
      <c r="A7" t="s">
        <v>5</v>
      </c>
      <c r="B7" t="s">
        <v>20</v>
      </c>
      <c r="C7" t="s">
        <v>28</v>
      </c>
      <c r="D7">
        <v>923.68068927354375</v>
      </c>
      <c r="E7">
        <v>0.2</v>
      </c>
      <c r="F7">
        <v>4</v>
      </c>
      <c r="G7">
        <f t="shared" si="0"/>
        <v>738.94455141883509</v>
      </c>
      <c r="H7">
        <v>15</v>
      </c>
      <c r="I7">
        <v>0.66700000000000004</v>
      </c>
      <c r="J7">
        <f t="shared" si="1"/>
        <v>73.85752637869416</v>
      </c>
      <c r="K7" s="1">
        <v>0.11600000000000001</v>
      </c>
      <c r="L7">
        <f t="shared" si="2"/>
        <v>636.70281360943238</v>
      </c>
    </row>
    <row r="8" spans="1:12" x14ac:dyDescent="0.2">
      <c r="A8" t="s">
        <v>6</v>
      </c>
      <c r="B8" t="s">
        <v>21</v>
      </c>
      <c r="C8" t="s">
        <v>27</v>
      </c>
      <c r="D8">
        <v>564.86637726438926</v>
      </c>
      <c r="E8">
        <v>0.2</v>
      </c>
      <c r="F8">
        <v>4</v>
      </c>
      <c r="G8">
        <f t="shared" si="0"/>
        <v>451.89310181151143</v>
      </c>
      <c r="H8">
        <v>15</v>
      </c>
      <c r="I8">
        <v>0.66700000000000004</v>
      </c>
      <c r="J8">
        <f t="shared" si="1"/>
        <v>45.166726817742273</v>
      </c>
      <c r="K8" s="1">
        <v>0.19400000000000001</v>
      </c>
      <c r="L8">
        <f t="shared" si="2"/>
        <v>232.81817947289829</v>
      </c>
    </row>
    <row r="9" spans="1:12" x14ac:dyDescent="0.2">
      <c r="A9" t="s">
        <v>7</v>
      </c>
      <c r="B9" t="s">
        <v>21</v>
      </c>
      <c r="C9" t="s">
        <v>28</v>
      </c>
      <c r="D9">
        <v>291.26301853686027</v>
      </c>
      <c r="E9">
        <v>0.2</v>
      </c>
      <c r="F9">
        <v>4</v>
      </c>
      <c r="G9">
        <f t="shared" si="0"/>
        <v>233.01041482948824</v>
      </c>
      <c r="H9">
        <v>15</v>
      </c>
      <c r="I9">
        <v>0.66700000000000004</v>
      </c>
      <c r="J9">
        <f t="shared" si="1"/>
        <v>23.289396784556544</v>
      </c>
      <c r="K9" s="1">
        <v>0.113</v>
      </c>
      <c r="L9">
        <f t="shared" si="2"/>
        <v>206.10085650050038</v>
      </c>
    </row>
    <row r="10" spans="1:12" x14ac:dyDescent="0.2">
      <c r="A10" t="s">
        <v>8</v>
      </c>
      <c r="B10" t="s">
        <v>22</v>
      </c>
      <c r="C10" t="s">
        <v>27</v>
      </c>
      <c r="D10">
        <v>280.84984885156962</v>
      </c>
      <c r="E10">
        <v>0.2</v>
      </c>
      <c r="F10">
        <v>4</v>
      </c>
      <c r="G10">
        <f t="shared" si="0"/>
        <v>224.67987908125571</v>
      </c>
      <c r="H10">
        <v>15</v>
      </c>
      <c r="I10">
        <v>0.66700000000000004</v>
      </c>
      <c r="J10">
        <f t="shared" si="1"/>
        <v>22.456759528361388</v>
      </c>
      <c r="K10" s="1">
        <v>0.23899999999999999</v>
      </c>
      <c r="L10">
        <f t="shared" si="2"/>
        <v>93.961336938750577</v>
      </c>
    </row>
    <row r="11" spans="1:12" x14ac:dyDescent="0.2">
      <c r="A11" t="s">
        <v>9</v>
      </c>
      <c r="B11" t="s">
        <v>22</v>
      </c>
      <c r="C11" t="s">
        <v>28</v>
      </c>
      <c r="D11">
        <v>245.34499195595811</v>
      </c>
      <c r="E11">
        <v>0.2</v>
      </c>
      <c r="F11">
        <v>4</v>
      </c>
      <c r="G11">
        <f t="shared" si="0"/>
        <v>196.27599356476651</v>
      </c>
      <c r="H11">
        <v>15</v>
      </c>
      <c r="I11">
        <v>0.66700000000000004</v>
      </c>
      <c r="J11">
        <f t="shared" si="1"/>
        <v>19.617790461246027</v>
      </c>
      <c r="K11" s="1">
        <v>8.3000000000000004E-2</v>
      </c>
      <c r="L11">
        <f t="shared" si="2"/>
        <v>236.35892121983164</v>
      </c>
    </row>
    <row r="12" spans="1:12" x14ac:dyDescent="0.2">
      <c r="A12" t="s">
        <v>10</v>
      </c>
      <c r="B12" t="s">
        <v>23</v>
      </c>
      <c r="C12" t="s">
        <v>27</v>
      </c>
      <c r="D12">
        <v>1085.956546809618</v>
      </c>
      <c r="E12">
        <v>0.2</v>
      </c>
      <c r="F12">
        <v>4</v>
      </c>
      <c r="G12">
        <f t="shared" si="0"/>
        <v>868.7652374476944</v>
      </c>
      <c r="H12">
        <v>15</v>
      </c>
      <c r="I12">
        <v>0.66700000000000004</v>
      </c>
      <c r="J12">
        <f t="shared" si="1"/>
        <v>86.833107191173852</v>
      </c>
      <c r="K12" s="1">
        <v>0.252</v>
      </c>
      <c r="L12">
        <f t="shared" si="2"/>
        <v>344.57582218719784</v>
      </c>
    </row>
    <row r="13" spans="1:12" x14ac:dyDescent="0.2">
      <c r="A13" t="s">
        <v>11</v>
      </c>
      <c r="B13" t="s">
        <v>23</v>
      </c>
      <c r="C13" t="s">
        <v>28</v>
      </c>
      <c r="D13">
        <v>912.22187246648969</v>
      </c>
      <c r="E13">
        <v>0.2</v>
      </c>
      <c r="F13">
        <v>4</v>
      </c>
      <c r="G13">
        <f t="shared" si="0"/>
        <v>729.77749797319177</v>
      </c>
      <c r="H13">
        <v>15</v>
      </c>
      <c r="I13">
        <v>0.66700000000000004</v>
      </c>
      <c r="J13">
        <f t="shared" si="1"/>
        <v>72.941279157740297</v>
      </c>
      <c r="K13" s="1">
        <v>0.14499999999999999</v>
      </c>
      <c r="L13">
        <f t="shared" si="2"/>
        <v>503.04330453614</v>
      </c>
    </row>
    <row r="14" spans="1:12" x14ac:dyDescent="0.2">
      <c r="A14" t="s">
        <v>12</v>
      </c>
      <c r="B14" t="s">
        <v>24</v>
      </c>
      <c r="C14" t="s">
        <v>27</v>
      </c>
      <c r="D14">
        <v>400.89082989365534</v>
      </c>
      <c r="E14">
        <v>0.2</v>
      </c>
      <c r="F14">
        <v>4</v>
      </c>
      <c r="G14">
        <f t="shared" si="0"/>
        <v>320.71266391492429</v>
      </c>
      <c r="H14">
        <v>15</v>
      </c>
      <c r="I14">
        <v>0.66700000000000004</v>
      </c>
      <c r="J14">
        <f t="shared" si="1"/>
        <v>32.055238772106371</v>
      </c>
      <c r="K14" s="1">
        <v>0.442</v>
      </c>
      <c r="L14">
        <f t="shared" si="2"/>
        <v>72.523164642774589</v>
      </c>
    </row>
    <row r="15" spans="1:12" x14ac:dyDescent="0.2">
      <c r="A15" t="s">
        <v>13</v>
      </c>
      <c r="B15" t="s">
        <v>24</v>
      </c>
      <c r="C15" t="s">
        <v>28</v>
      </c>
      <c r="D15">
        <v>777.03533404580151</v>
      </c>
      <c r="E15">
        <v>0.2</v>
      </c>
      <c r="F15">
        <v>4</v>
      </c>
      <c r="G15">
        <f t="shared" si="0"/>
        <v>621.62826723664125</v>
      </c>
      <c r="H15">
        <v>15</v>
      </c>
      <c r="I15">
        <v>0.66700000000000004</v>
      </c>
      <c r="J15">
        <f t="shared" si="1"/>
        <v>62.131760843242503</v>
      </c>
      <c r="K15" s="1">
        <v>0.156</v>
      </c>
      <c r="L15">
        <f t="shared" si="2"/>
        <v>398.28051822591351</v>
      </c>
    </row>
    <row r="16" spans="1:12" x14ac:dyDescent="0.2">
      <c r="A16" t="s">
        <v>14</v>
      </c>
      <c r="B16" t="s">
        <v>25</v>
      </c>
      <c r="C16" t="s">
        <v>27</v>
      </c>
      <c r="D16">
        <v>1081.4284007788956</v>
      </c>
      <c r="E16">
        <v>0.2</v>
      </c>
      <c r="F16">
        <v>4</v>
      </c>
      <c r="G16">
        <f t="shared" si="0"/>
        <v>865.14272062311647</v>
      </c>
      <c r="H16">
        <v>15</v>
      </c>
      <c r="I16">
        <v>0.66700000000000004</v>
      </c>
      <c r="J16">
        <f t="shared" si="1"/>
        <v>86.47103654403962</v>
      </c>
      <c r="K16" s="1">
        <v>0.192</v>
      </c>
      <c r="L16">
        <f t="shared" si="2"/>
        <v>450.36998200020633</v>
      </c>
    </row>
    <row r="17" spans="1:12" x14ac:dyDescent="0.2">
      <c r="A17" t="s">
        <v>15</v>
      </c>
      <c r="B17" t="s">
        <v>25</v>
      </c>
      <c r="C17" t="s">
        <v>28</v>
      </c>
      <c r="D17">
        <v>416.46582347227132</v>
      </c>
      <c r="E17">
        <v>0.2</v>
      </c>
      <c r="F17">
        <v>4</v>
      </c>
      <c r="G17">
        <f t="shared" si="0"/>
        <v>333.17265877781711</v>
      </c>
      <c r="H17">
        <v>15</v>
      </c>
      <c r="I17">
        <v>0.66700000000000004</v>
      </c>
      <c r="J17">
        <f t="shared" si="1"/>
        <v>33.300615569996708</v>
      </c>
      <c r="K17" s="1">
        <v>0.11799999999999999</v>
      </c>
      <c r="L17">
        <f t="shared" si="2"/>
        <v>282.20860652539585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Solomon-Lane</dc:creator>
  <cp:lastModifiedBy>Tessa Solomon-Lane</cp:lastModifiedBy>
  <dcterms:created xsi:type="dcterms:W3CDTF">2026-03-19T21:48:24Z</dcterms:created>
  <dcterms:modified xsi:type="dcterms:W3CDTF">2026-03-19T22:00:34Z</dcterms:modified>
</cp:coreProperties>
</file>